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ziosa\Politecnico di Torino Staff Dropbox\Simone Preziosa\PPPDelayHospital\Submission\CME\"/>
    </mc:Choice>
  </mc:AlternateContent>
  <xr:revisionPtr revIDLastSave="0" documentId="8_{7298598E-0465-4BEF-9102-85DC4765D32C}" xr6:coauthVersionLast="47" xr6:coauthVersionMax="47" xr10:uidLastSave="{00000000-0000-0000-0000-000000000000}"/>
  <bookViews>
    <workbookView xWindow="-90" yWindow="0" windowWidth="19380" windowHeight="20970" xr2:uid="{D8AE84A6-458A-49A3-AE10-F498B241AB80}"/>
  </bookViews>
  <sheets>
    <sheet name="PPP Database" sheetId="2" r:id="rId1"/>
  </sheets>
  <definedNames>
    <definedName name="_xlnm._FilterDatabase" localSheetId="0" hidden="1">'PPP Database'!$A$1:$M$40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</calcChain>
</file>

<file path=xl/sharedStrings.xml><?xml version="1.0" encoding="utf-8"?>
<sst xmlns="http://schemas.openxmlformats.org/spreadsheetml/2006/main" count="102" uniqueCount="33">
  <si>
    <t>Project ID</t>
  </si>
  <si>
    <t>Project Type</t>
  </si>
  <si>
    <t>Country</t>
  </si>
  <si>
    <t>Concession Period (Years)</t>
  </si>
  <si>
    <t>Total Investment (USD millions)</t>
  </si>
  <si>
    <t>SPV No of Partners</t>
  </si>
  <si>
    <t>PLANNED Construction Start Date</t>
  </si>
  <si>
    <t>PLANNED Operation Start Date</t>
  </si>
  <si>
    <t>ACTUAL Construction Start Date</t>
  </si>
  <si>
    <t>ACTAUL Operation Start Date</t>
  </si>
  <si>
    <t>Hospital Capacity (Beds)</t>
  </si>
  <si>
    <t xml:space="preserve">GDP (current US$)  </t>
  </si>
  <si>
    <t>PPP - DBFO</t>
  </si>
  <si>
    <t>Turkey</t>
  </si>
  <si>
    <t>PPP - DBFM</t>
  </si>
  <si>
    <t>Canada</t>
  </si>
  <si>
    <t>PPP - O&amp;M</t>
  </si>
  <si>
    <t>Portugal</t>
  </si>
  <si>
    <t>5+</t>
  </si>
  <si>
    <t>Spain</t>
  </si>
  <si>
    <t>Chile</t>
  </si>
  <si>
    <t>PPP - DBFOM</t>
  </si>
  <si>
    <t>Finland</t>
  </si>
  <si>
    <t>PPP - DBFM (+ Service)</t>
  </si>
  <si>
    <t>United Kingdom</t>
  </si>
  <si>
    <t>755​</t>
  </si>
  <si>
    <t>Australia</t>
  </si>
  <si>
    <t>Italy</t>
  </si>
  <si>
    <t>1081​</t>
  </si>
  <si>
    <t>Germany</t>
  </si>
  <si>
    <t>523​</t>
  </si>
  <si>
    <t>France</t>
  </si>
  <si>
    <t>Regulatory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</si>
</sst>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0" xfId="1" applyFont="1" applyFill="1"/>
    <xf numFmtId="0" fontId="2" fillId="0" borderId="0" xfId="1" applyFont="1"/>
    <xf numFmtId="0" fontId="1" fillId="2" borderId="0" xfId="1" applyFill="1"/>
    <xf numFmtId="1" fontId="1" fillId="2" borderId="0" xfId="1" applyNumberFormat="1" applyFill="1"/>
    <xf numFmtId="0" fontId="2" fillId="0" borderId="1" xfId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left" vertical="center"/>
    </xf>
    <xf numFmtId="2" fontId="2" fillId="0" borderId="1" xfId="1" applyNumberFormat="1" applyFont="1" applyFill="1" applyBorder="1" applyAlignment="1">
      <alignment horizontal="left" vertical="center"/>
    </xf>
    <xf numFmtId="17" fontId="2" fillId="0" borderId="1" xfId="1" applyNumberFormat="1" applyFont="1" applyFill="1" applyBorder="1" applyAlignment="1">
      <alignment horizontal="left" vertical="center"/>
    </xf>
    <xf numFmtId="3" fontId="2" fillId="0" borderId="1" xfId="1" applyNumberFormat="1" applyFont="1" applyFill="1" applyBorder="1" applyAlignment="1">
      <alignment horizontal="left" vertical="center"/>
    </xf>
    <xf numFmtId="4" fontId="2" fillId="0" borderId="1" xfId="1" applyNumberFormat="1" applyFont="1" applyFill="1" applyBorder="1" applyAlignment="1">
      <alignment horizontal="left" vertical="center"/>
    </xf>
    <xf numFmtId="17" fontId="3" fillId="0" borderId="1" xfId="1" applyNumberFormat="1" applyFont="1" applyFill="1" applyBorder="1" applyAlignment="1">
      <alignment horizontal="left" vertical="center"/>
    </xf>
    <xf numFmtId="0" fontId="2" fillId="0" borderId="0" xfId="1" applyFont="1" applyFill="1"/>
    <xf numFmtId="0" fontId="1" fillId="0" borderId="0" xfId="1" applyFill="1"/>
    <xf numFmtId="164" fontId="1" fillId="0" borderId="0" xfId="1" applyNumberFormat="1" applyFill="1"/>
    <xf numFmtId="2" fontId="2" fillId="0" borderId="0" xfId="1" applyNumberFormat="1" applyFont="1" applyFill="1"/>
    <xf numFmtId="3" fontId="1" fillId="0" borderId="0" xfId="1" applyNumberFormat="1" applyFill="1"/>
    <xf numFmtId="0" fontId="4" fillId="0" borderId="0" xfId="1" applyFont="1" applyFill="1"/>
    <xf numFmtId="0" fontId="5" fillId="0" borderId="0" xfId="2" applyFill="1" applyBorder="1"/>
    <xf numFmtId="0" fontId="6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164" fontId="6" fillId="0" borderId="1" xfId="1" applyNumberFormat="1" applyFont="1" applyFill="1" applyBorder="1" applyAlignment="1">
      <alignment horizontal="left" vertical="center" wrapText="1"/>
    </xf>
    <xf numFmtId="3" fontId="6" fillId="0" borderId="1" xfId="1" applyNumberFormat="1" applyFont="1" applyFill="1" applyBorder="1" applyAlignment="1">
      <alignment horizontal="left" vertical="center" wrapText="1"/>
    </xf>
  </cellXfs>
  <cellStyles count="3">
    <cellStyle name="Collegamento ipertestuale 2" xfId="2" xr:uid="{2C41ED41-B2A7-46C6-996E-8C43B12F42AE}"/>
    <cellStyle name="Normale" xfId="0" builtinId="0"/>
    <cellStyle name="Normale 2" xfId="1" xr:uid="{07FA6120-4F32-4D74-9F3E-CEE9FF6E2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AE91-158B-4EC8-BC48-E6DA6A0AD4DB}">
  <dimension ref="A1:N74"/>
  <sheetViews>
    <sheetView tabSelected="1" zoomScale="70" zoomScaleNormal="70" workbookViewId="0">
      <selection activeCell="O4" sqref="O4"/>
    </sheetView>
  </sheetViews>
  <sheetFormatPr defaultColWidth="16.26953125" defaultRowHeight="16" x14ac:dyDescent="0.4"/>
  <cols>
    <col min="1" max="1" width="11.08984375" style="12" bestFit="1" customWidth="1"/>
    <col min="2" max="2" width="24" style="12" bestFit="1" customWidth="1"/>
    <col min="3" max="3" width="16.08984375" style="12" bestFit="1" customWidth="1"/>
    <col min="4" max="4" width="15.453125" style="15" bestFit="1" customWidth="1"/>
    <col min="5" max="5" width="15.90625" style="12" bestFit="1" customWidth="1"/>
    <col min="6" max="6" width="10.7265625" style="13" bestFit="1" customWidth="1"/>
    <col min="7" max="7" width="14" style="14" bestFit="1" customWidth="1"/>
    <col min="8" max="8" width="11.54296875" style="14" bestFit="1" customWidth="1"/>
    <col min="9" max="9" width="14" style="14" bestFit="1" customWidth="1"/>
    <col min="10" max="10" width="11" style="14" bestFit="1" customWidth="1"/>
    <col min="11" max="11" width="9.54296875" style="13" bestFit="1" customWidth="1"/>
    <col min="12" max="12" width="18.6328125" style="16" bestFit="1" customWidth="1"/>
    <col min="13" max="13" width="11.90625" style="13" bestFit="1" customWidth="1"/>
    <col min="14" max="14" width="17.1796875" style="3" customWidth="1"/>
    <col min="15" max="16384" width="16.26953125" style="3"/>
  </cols>
  <sheetData>
    <row r="1" spans="1:13" s="1" customFormat="1" ht="45" x14ac:dyDescent="0.35">
      <c r="A1" s="19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1" t="s">
        <v>10</v>
      </c>
      <c r="L1" s="23" t="s">
        <v>11</v>
      </c>
      <c r="M1" s="21" t="s">
        <v>32</v>
      </c>
    </row>
    <row r="2" spans="1:13" s="2" customFormat="1" ht="15.5" x14ac:dyDescent="0.35">
      <c r="A2" s="5">
        <v>48</v>
      </c>
      <c r="B2" s="5" t="s">
        <v>12</v>
      </c>
      <c r="C2" s="5" t="s">
        <v>13</v>
      </c>
      <c r="D2" s="6">
        <v>25</v>
      </c>
      <c r="E2" s="7">
        <v>1371.1499999999999</v>
      </c>
      <c r="F2" s="6">
        <v>2</v>
      </c>
      <c r="G2" s="8">
        <v>42979</v>
      </c>
      <c r="H2" s="8">
        <v>44075</v>
      </c>
      <c r="I2" s="8">
        <v>42979</v>
      </c>
      <c r="J2" s="8">
        <v>43972</v>
      </c>
      <c r="K2" s="6">
        <v>2682</v>
      </c>
      <c r="L2" s="9">
        <v>960031200973.59888</v>
      </c>
      <c r="M2" s="10">
        <v>40.952381134033203</v>
      </c>
    </row>
    <row r="3" spans="1:13" s="2" customFormat="1" ht="15.5" x14ac:dyDescent="0.35">
      <c r="A3" s="5">
        <v>28</v>
      </c>
      <c r="B3" s="5" t="s">
        <v>14</v>
      </c>
      <c r="C3" s="5" t="s">
        <v>15</v>
      </c>
      <c r="D3" s="6">
        <v>30</v>
      </c>
      <c r="E3" s="7">
        <v>1802.7099999999998</v>
      </c>
      <c r="F3" s="6">
        <v>4</v>
      </c>
      <c r="G3" s="8">
        <v>40879</v>
      </c>
      <c r="H3" s="8">
        <v>42158</v>
      </c>
      <c r="I3" s="8">
        <v>40879</v>
      </c>
      <c r="J3" s="8">
        <v>42158</v>
      </c>
      <c r="K3" s="6">
        <v>656</v>
      </c>
      <c r="L3" s="9">
        <v>1443745912933.406</v>
      </c>
      <c r="M3" s="10">
        <v>88.151657104492202</v>
      </c>
    </row>
    <row r="4" spans="1:13" s="2" customFormat="1" ht="15.5" x14ac:dyDescent="0.35">
      <c r="A4" s="5">
        <v>11</v>
      </c>
      <c r="B4" s="5" t="s">
        <v>16</v>
      </c>
      <c r="C4" s="5" t="s">
        <v>17</v>
      </c>
      <c r="D4" s="6">
        <v>30</v>
      </c>
      <c r="E4" s="7">
        <v>510.28267999999997</v>
      </c>
      <c r="F4" s="6" t="s">
        <v>18</v>
      </c>
      <c r="G4" s="8">
        <v>40269</v>
      </c>
      <c r="H4" s="8">
        <v>41367</v>
      </c>
      <c r="I4" s="8">
        <v>40269</v>
      </c>
      <c r="J4" s="8">
        <v>41367</v>
      </c>
      <c r="K4" s="6">
        <v>280</v>
      </c>
      <c r="L4" s="9">
        <v>204707282994.34598</v>
      </c>
      <c r="M4" s="10">
        <v>58.293838500976598</v>
      </c>
    </row>
    <row r="5" spans="1:13" s="2" customFormat="1" ht="15.5" x14ac:dyDescent="0.35">
      <c r="A5" s="5">
        <v>37</v>
      </c>
      <c r="B5" s="5" t="s">
        <v>14</v>
      </c>
      <c r="C5" s="5" t="s">
        <v>19</v>
      </c>
      <c r="D5" s="6">
        <v>20</v>
      </c>
      <c r="E5" s="7">
        <v>520.40160000000003</v>
      </c>
      <c r="F5" s="6">
        <v>4</v>
      </c>
      <c r="G5" s="11">
        <v>40330</v>
      </c>
      <c r="H5" s="11">
        <v>41275</v>
      </c>
      <c r="I5" s="8">
        <v>41244</v>
      </c>
      <c r="J5" s="8">
        <v>42214</v>
      </c>
      <c r="K5" s="6">
        <v>845</v>
      </c>
      <c r="L5" s="9">
        <v>1192432281030.2139</v>
      </c>
      <c r="M5" s="10">
        <v>74.407585144042997</v>
      </c>
    </row>
    <row r="6" spans="1:13" s="2" customFormat="1" ht="15.5" x14ac:dyDescent="0.35">
      <c r="A6" s="5">
        <v>30</v>
      </c>
      <c r="B6" s="5" t="s">
        <v>12</v>
      </c>
      <c r="C6" s="5" t="s">
        <v>20</v>
      </c>
      <c r="D6" s="6">
        <v>15</v>
      </c>
      <c r="E6" s="7">
        <v>453.20000000000005</v>
      </c>
      <c r="F6" s="6">
        <v>2</v>
      </c>
      <c r="G6" s="8">
        <v>41671</v>
      </c>
      <c r="H6" s="8">
        <v>42887</v>
      </c>
      <c r="I6" s="8">
        <v>41671</v>
      </c>
      <c r="J6" s="8">
        <v>42887</v>
      </c>
      <c r="K6" s="6">
        <v>671</v>
      </c>
      <c r="L6" s="9">
        <v>233163076989.91052</v>
      </c>
      <c r="M6" s="10">
        <v>85.308059692382798</v>
      </c>
    </row>
    <row r="7" spans="1:13" s="2" customFormat="1" ht="15.5" x14ac:dyDescent="0.35">
      <c r="A7" s="5">
        <v>15</v>
      </c>
      <c r="B7" s="5" t="s">
        <v>21</v>
      </c>
      <c r="C7" s="5" t="s">
        <v>22</v>
      </c>
      <c r="D7" s="6">
        <v>20</v>
      </c>
      <c r="E7" s="7">
        <v>209.17280000000002</v>
      </c>
      <c r="F7" s="6">
        <v>5</v>
      </c>
      <c r="G7" s="8">
        <v>42767</v>
      </c>
      <c r="H7" s="8">
        <v>44440</v>
      </c>
      <c r="I7" s="8">
        <v>42767</v>
      </c>
      <c r="J7" s="8">
        <v>44440</v>
      </c>
      <c r="K7" s="6">
        <v>350</v>
      </c>
      <c r="L7" s="9">
        <v>235550696192.57797</v>
      </c>
      <c r="M7" s="10">
        <v>90.995262145996094</v>
      </c>
    </row>
    <row r="8" spans="1:13" s="2" customFormat="1" ht="15.5" x14ac:dyDescent="0.35">
      <c r="A8" s="5">
        <v>5</v>
      </c>
      <c r="B8" s="5" t="s">
        <v>23</v>
      </c>
      <c r="C8" s="5" t="s">
        <v>24</v>
      </c>
      <c r="D8" s="6">
        <v>33</v>
      </c>
      <c r="E8" s="7">
        <v>310.43099999999998</v>
      </c>
      <c r="F8" s="6">
        <v>2</v>
      </c>
      <c r="G8" s="8">
        <v>37773</v>
      </c>
      <c r="H8" s="8">
        <v>39052</v>
      </c>
      <c r="I8" s="8">
        <v>37773</v>
      </c>
      <c r="J8" s="8">
        <v>39052</v>
      </c>
      <c r="K8" s="6">
        <v>228</v>
      </c>
      <c r="L8" s="9">
        <v>2598654838739.1724</v>
      </c>
      <c r="M8" s="10">
        <v>89.215682983398395</v>
      </c>
    </row>
    <row r="9" spans="1:13" s="2" customFormat="1" ht="15.5" x14ac:dyDescent="0.35">
      <c r="A9" s="5">
        <v>9</v>
      </c>
      <c r="B9" s="5" t="s">
        <v>12</v>
      </c>
      <c r="C9" s="5" t="s">
        <v>19</v>
      </c>
      <c r="D9" s="6">
        <v>30</v>
      </c>
      <c r="E9" s="7">
        <v>307.96607999999998</v>
      </c>
      <c r="F9" s="6">
        <v>2</v>
      </c>
      <c r="G9" s="8">
        <v>40179</v>
      </c>
      <c r="H9" s="8">
        <v>40989</v>
      </c>
      <c r="I9" s="8">
        <v>40179</v>
      </c>
      <c r="J9" s="8">
        <v>40989</v>
      </c>
      <c r="K9" s="6">
        <v>260</v>
      </c>
      <c r="L9" s="9">
        <v>1198983535253.4814</v>
      </c>
      <c r="M9" s="10">
        <v>74.162681579589801</v>
      </c>
    </row>
    <row r="10" spans="1:13" s="2" customFormat="1" ht="15.5" x14ac:dyDescent="0.35">
      <c r="A10" s="5">
        <v>14</v>
      </c>
      <c r="B10" s="5" t="s">
        <v>14</v>
      </c>
      <c r="C10" s="5" t="s">
        <v>24</v>
      </c>
      <c r="D10" s="6">
        <v>25</v>
      </c>
      <c r="E10" s="7">
        <v>315.30177000000003</v>
      </c>
      <c r="F10" s="6">
        <v>4</v>
      </c>
      <c r="G10" s="8">
        <v>42064</v>
      </c>
      <c r="H10" s="8">
        <v>43077</v>
      </c>
      <c r="I10" s="8">
        <v>42064</v>
      </c>
      <c r="J10" s="8">
        <v>43077</v>
      </c>
      <c r="K10" s="6">
        <v>344</v>
      </c>
      <c r="L10" s="9">
        <v>2864242231205.4688</v>
      </c>
      <c r="M10" s="10">
        <v>90.384613037109403</v>
      </c>
    </row>
    <row r="11" spans="1:13" s="2" customFormat="1" ht="15.5" x14ac:dyDescent="0.35">
      <c r="A11" s="5">
        <v>6</v>
      </c>
      <c r="B11" s="5" t="s">
        <v>21</v>
      </c>
      <c r="C11" s="5" t="s">
        <v>19</v>
      </c>
      <c r="D11" s="6">
        <v>30</v>
      </c>
      <c r="E11" s="7">
        <v>199.11599999999999</v>
      </c>
      <c r="F11" s="6">
        <v>3</v>
      </c>
      <c r="G11" s="8">
        <v>40148</v>
      </c>
      <c r="H11" s="8">
        <v>40695</v>
      </c>
      <c r="I11" s="8">
        <v>40148</v>
      </c>
      <c r="J11" s="8">
        <v>40695</v>
      </c>
      <c r="K11" s="6">
        <v>250</v>
      </c>
      <c r="L11" s="9">
        <v>1245931907512.5439</v>
      </c>
      <c r="M11" s="10">
        <v>75.242721557617202</v>
      </c>
    </row>
    <row r="12" spans="1:13" s="2" customFormat="1" ht="15.5" x14ac:dyDescent="0.35">
      <c r="A12" s="5">
        <v>42</v>
      </c>
      <c r="B12" s="5" t="s">
        <v>12</v>
      </c>
      <c r="C12" s="5" t="s">
        <v>24</v>
      </c>
      <c r="D12" s="6">
        <v>35</v>
      </c>
      <c r="E12" s="7">
        <v>1218.9169999999999</v>
      </c>
      <c r="F12" s="6">
        <v>3</v>
      </c>
      <c r="G12" s="8">
        <v>38899</v>
      </c>
      <c r="H12" s="8">
        <v>40345</v>
      </c>
      <c r="I12" s="8">
        <v>38899</v>
      </c>
      <c r="J12" s="8">
        <v>40345</v>
      </c>
      <c r="K12" s="6">
        <v>1213</v>
      </c>
      <c r="L12" s="9">
        <v>2660520859212.0483</v>
      </c>
      <c r="M12" s="10">
        <v>92.647056579589801</v>
      </c>
    </row>
    <row r="13" spans="1:13" s="2" customFormat="1" ht="15.5" x14ac:dyDescent="0.35">
      <c r="A13" s="5">
        <v>2</v>
      </c>
      <c r="B13" s="5" t="s">
        <v>23</v>
      </c>
      <c r="C13" s="5" t="s">
        <v>24</v>
      </c>
      <c r="D13" s="6">
        <v>34</v>
      </c>
      <c r="E13" s="7">
        <v>155.19659999999999</v>
      </c>
      <c r="F13" s="6">
        <v>2</v>
      </c>
      <c r="G13" s="8">
        <v>39417</v>
      </c>
      <c r="H13" s="8">
        <v>39965</v>
      </c>
      <c r="I13" s="8">
        <v>39417</v>
      </c>
      <c r="J13" s="8">
        <v>39965</v>
      </c>
      <c r="K13" s="6">
        <v>120</v>
      </c>
      <c r="L13" s="9">
        <v>2730356339665.7891</v>
      </c>
      <c r="M13" s="10">
        <v>92.233009338378906</v>
      </c>
    </row>
    <row r="14" spans="1:13" s="2" customFormat="1" ht="15.5" x14ac:dyDescent="0.35">
      <c r="A14" s="5">
        <v>32</v>
      </c>
      <c r="B14" s="5" t="s">
        <v>16</v>
      </c>
      <c r="C14" s="5" t="s">
        <v>17</v>
      </c>
      <c r="D14" s="6">
        <v>30</v>
      </c>
      <c r="E14" s="7">
        <v>225.66479999999999</v>
      </c>
      <c r="F14" s="6" t="s">
        <v>18</v>
      </c>
      <c r="G14" s="8">
        <v>40057</v>
      </c>
      <c r="H14" s="8">
        <v>40678</v>
      </c>
      <c r="I14" s="8">
        <v>40057</v>
      </c>
      <c r="J14" s="8">
        <v>40678</v>
      </c>
      <c r="K14" s="6">
        <v>706</v>
      </c>
      <c r="L14" s="9">
        <v>204718906251.38815</v>
      </c>
      <c r="M14" s="10">
        <v>70.334930419921903</v>
      </c>
    </row>
    <row r="15" spans="1:13" s="2" customFormat="1" ht="15.5" x14ac:dyDescent="0.35">
      <c r="A15" s="5">
        <v>18</v>
      </c>
      <c r="B15" s="5" t="s">
        <v>12</v>
      </c>
      <c r="C15" s="5" t="s">
        <v>17</v>
      </c>
      <c r="D15" s="6">
        <v>30</v>
      </c>
      <c r="E15" s="7">
        <v>588.05592000000001</v>
      </c>
      <c r="F15" s="6" t="s">
        <v>18</v>
      </c>
      <c r="G15" s="8">
        <v>40179</v>
      </c>
      <c r="H15" s="8">
        <v>40935</v>
      </c>
      <c r="I15" s="8">
        <v>40179</v>
      </c>
      <c r="J15" s="8">
        <v>40927</v>
      </c>
      <c r="K15" s="6">
        <v>424</v>
      </c>
      <c r="L15" s="9">
        <v>204718906251.38815</v>
      </c>
      <c r="M15" s="10">
        <v>70.334930419921903</v>
      </c>
    </row>
    <row r="16" spans="1:13" s="2" customFormat="1" ht="15.5" x14ac:dyDescent="0.35">
      <c r="A16" s="5">
        <v>39</v>
      </c>
      <c r="B16" s="5" t="s">
        <v>23</v>
      </c>
      <c r="C16" s="5" t="s">
        <v>24</v>
      </c>
      <c r="D16" s="6">
        <v>35</v>
      </c>
      <c r="E16" s="7">
        <v>481.04910000000001</v>
      </c>
      <c r="F16" s="6">
        <v>3</v>
      </c>
      <c r="G16" s="8">
        <v>38200</v>
      </c>
      <c r="H16" s="8">
        <v>39059</v>
      </c>
      <c r="I16" s="8">
        <v>38200</v>
      </c>
      <c r="J16" s="8">
        <v>39059</v>
      </c>
      <c r="K16" s="6">
        <v>939</v>
      </c>
      <c r="L16" s="9">
        <v>2529531328675.5728</v>
      </c>
      <c r="M16" s="10">
        <v>88.557212829589801</v>
      </c>
    </row>
    <row r="17" spans="1:13" s="2" customFormat="1" ht="15.5" x14ac:dyDescent="0.35">
      <c r="A17" s="5">
        <v>34</v>
      </c>
      <c r="B17" s="5" t="s">
        <v>23</v>
      </c>
      <c r="C17" s="5" t="s">
        <v>24</v>
      </c>
      <c r="D17" s="6">
        <v>35</v>
      </c>
      <c r="E17" s="7">
        <v>676.49800000000005</v>
      </c>
      <c r="F17" s="6">
        <v>2</v>
      </c>
      <c r="G17" s="8">
        <v>39326</v>
      </c>
      <c r="H17" s="8">
        <v>40497</v>
      </c>
      <c r="I17" s="8">
        <v>39326</v>
      </c>
      <c r="J17" s="8">
        <v>40497</v>
      </c>
      <c r="K17" s="6">
        <f>621+102+34</f>
        <v>757</v>
      </c>
      <c r="L17" s="9">
        <v>2730356339665.7891</v>
      </c>
      <c r="M17" s="10">
        <v>92.233009338378906</v>
      </c>
    </row>
    <row r="18" spans="1:13" s="2" customFormat="1" ht="15.5" x14ac:dyDescent="0.35">
      <c r="A18" s="5">
        <v>10</v>
      </c>
      <c r="B18" s="5" t="s">
        <v>21</v>
      </c>
      <c r="C18" s="5" t="s">
        <v>17</v>
      </c>
      <c r="D18" s="6">
        <v>30</v>
      </c>
      <c r="E18" s="7">
        <v>567.16974000000005</v>
      </c>
      <c r="F18" s="6" t="s">
        <v>18</v>
      </c>
      <c r="G18" s="8">
        <v>39508</v>
      </c>
      <c r="H18" s="8">
        <v>40232</v>
      </c>
      <c r="I18" s="8">
        <v>39508</v>
      </c>
      <c r="J18" s="8">
        <v>40232</v>
      </c>
      <c r="K18" s="6">
        <v>277</v>
      </c>
      <c r="L18" s="9">
        <v>211316368358.01199</v>
      </c>
      <c r="M18" s="10">
        <v>72.330093383789105</v>
      </c>
    </row>
    <row r="19" spans="1:13" s="2" customFormat="1" ht="15.5" x14ac:dyDescent="0.35">
      <c r="A19" s="5">
        <v>45</v>
      </c>
      <c r="B19" s="5" t="s">
        <v>12</v>
      </c>
      <c r="C19" s="5" t="s">
        <v>13</v>
      </c>
      <c r="D19" s="6">
        <v>25</v>
      </c>
      <c r="E19" s="7">
        <v>249.93899999999999</v>
      </c>
      <c r="F19" s="6" t="s">
        <v>18</v>
      </c>
      <c r="G19" s="8">
        <v>41883</v>
      </c>
      <c r="H19" s="8">
        <v>42993</v>
      </c>
      <c r="I19" s="8">
        <v>41883</v>
      </c>
      <c r="J19" s="8">
        <v>42993</v>
      </c>
      <c r="K19" s="6">
        <v>1550</v>
      </c>
      <c r="L19" s="9">
        <v>864313810469.0094</v>
      </c>
      <c r="M19" s="10">
        <v>51.4285697937012</v>
      </c>
    </row>
    <row r="20" spans="1:13" s="2" customFormat="1" ht="15.5" x14ac:dyDescent="0.35">
      <c r="A20" s="5">
        <v>13</v>
      </c>
      <c r="B20" s="5" t="s">
        <v>23</v>
      </c>
      <c r="C20" s="5" t="s">
        <v>24</v>
      </c>
      <c r="D20" s="6">
        <v>35</v>
      </c>
      <c r="E20" s="7">
        <v>294.47559999999999</v>
      </c>
      <c r="F20" s="6">
        <v>2</v>
      </c>
      <c r="G20" s="8">
        <v>39264</v>
      </c>
      <c r="H20" s="8">
        <v>40422</v>
      </c>
      <c r="I20" s="8">
        <v>39264</v>
      </c>
      <c r="J20" s="8">
        <v>40452</v>
      </c>
      <c r="K20" s="6">
        <v>330</v>
      </c>
      <c r="L20" s="9">
        <v>2730356339665.7891</v>
      </c>
      <c r="M20" s="10">
        <v>92.233009338378906</v>
      </c>
    </row>
    <row r="21" spans="1:13" s="2" customFormat="1" ht="15.5" x14ac:dyDescent="0.35">
      <c r="A21" s="5">
        <v>44</v>
      </c>
      <c r="B21" s="5" t="s">
        <v>21</v>
      </c>
      <c r="C21" s="5" t="s">
        <v>13</v>
      </c>
      <c r="D21" s="6">
        <v>25</v>
      </c>
      <c r="E21" s="7">
        <v>607.44200000000001</v>
      </c>
      <c r="F21" s="6">
        <v>2</v>
      </c>
      <c r="G21" s="8">
        <v>41974</v>
      </c>
      <c r="H21" s="8">
        <v>42705</v>
      </c>
      <c r="I21" s="8">
        <v>42005</v>
      </c>
      <c r="J21" s="8">
        <v>42769</v>
      </c>
      <c r="K21" s="6">
        <v>1300</v>
      </c>
      <c r="L21" s="9">
        <v>814741000960.49231</v>
      </c>
      <c r="M21" s="10">
        <v>55.288459777832003</v>
      </c>
    </row>
    <row r="22" spans="1:13" s="2" customFormat="1" ht="15.5" x14ac:dyDescent="0.35">
      <c r="A22" s="5">
        <v>20</v>
      </c>
      <c r="B22" s="5" t="s">
        <v>12</v>
      </c>
      <c r="C22" s="5" t="s">
        <v>13</v>
      </c>
      <c r="D22" s="6">
        <v>25</v>
      </c>
      <c r="E22" s="7">
        <v>138.05500000000001</v>
      </c>
      <c r="F22" s="6">
        <v>2</v>
      </c>
      <c r="G22" s="8">
        <v>42156</v>
      </c>
      <c r="H22" s="8">
        <v>42705</v>
      </c>
      <c r="I22" s="8">
        <v>42156</v>
      </c>
      <c r="J22" s="8">
        <v>42738</v>
      </c>
      <c r="K22" s="6">
        <v>475</v>
      </c>
      <c r="L22" s="9">
        <v>776389567770.0907</v>
      </c>
      <c r="M22" s="10">
        <v>57.345970153808601</v>
      </c>
    </row>
    <row r="23" spans="1:13" s="2" customFormat="1" ht="15.5" x14ac:dyDescent="0.35">
      <c r="A23" s="5">
        <v>17</v>
      </c>
      <c r="B23" s="5" t="s">
        <v>23</v>
      </c>
      <c r="C23" s="5" t="s">
        <v>24</v>
      </c>
      <c r="D23" s="6">
        <v>33</v>
      </c>
      <c r="E23" s="7">
        <v>346.20780000000002</v>
      </c>
      <c r="F23" s="6" t="s">
        <v>18</v>
      </c>
      <c r="G23" s="8">
        <v>39234</v>
      </c>
      <c r="H23" s="8">
        <v>40330</v>
      </c>
      <c r="I23" s="8">
        <v>39234</v>
      </c>
      <c r="J23" s="8">
        <v>40422</v>
      </c>
      <c r="K23" s="6">
        <v>400</v>
      </c>
      <c r="L23" s="9">
        <v>2730356339665.7891</v>
      </c>
      <c r="M23" s="10">
        <v>92.233009338378906</v>
      </c>
    </row>
    <row r="24" spans="1:13" s="2" customFormat="1" ht="15.5" x14ac:dyDescent="0.35">
      <c r="A24" s="5">
        <v>54</v>
      </c>
      <c r="B24" s="5" t="s">
        <v>14</v>
      </c>
      <c r="C24" s="5" t="s">
        <v>13</v>
      </c>
      <c r="D24" s="6">
        <v>25</v>
      </c>
      <c r="E24" s="7">
        <v>219.71111999999999</v>
      </c>
      <c r="F24" s="6">
        <v>1</v>
      </c>
      <c r="G24" s="8">
        <v>42005</v>
      </c>
      <c r="H24" s="8">
        <v>42736</v>
      </c>
      <c r="I24" s="8">
        <v>42005</v>
      </c>
      <c r="J24" s="8">
        <v>42818</v>
      </c>
      <c r="K24" s="6" t="s">
        <v>25</v>
      </c>
      <c r="L24" s="9">
        <v>814741000960.49231</v>
      </c>
      <c r="M24" s="10">
        <v>55.288459777832003</v>
      </c>
    </row>
    <row r="25" spans="1:13" s="2" customFormat="1" ht="15.5" x14ac:dyDescent="0.35">
      <c r="A25" s="5">
        <v>7</v>
      </c>
      <c r="B25" s="5" t="s">
        <v>14</v>
      </c>
      <c r="C25" s="5" t="s">
        <v>19</v>
      </c>
      <c r="D25" s="6">
        <v>30</v>
      </c>
      <c r="E25" s="7">
        <v>259.22000000000003</v>
      </c>
      <c r="F25" s="6">
        <v>4</v>
      </c>
      <c r="G25" s="8">
        <v>38671</v>
      </c>
      <c r="H25" s="8">
        <v>39417</v>
      </c>
      <c r="I25" s="8">
        <v>38671</v>
      </c>
      <c r="J25" s="8">
        <v>39507</v>
      </c>
      <c r="K25" s="6">
        <v>250</v>
      </c>
      <c r="L25" s="9">
        <v>1147835586804.0913</v>
      </c>
      <c r="M25" s="10">
        <v>78.431373596191406</v>
      </c>
    </row>
    <row r="26" spans="1:13" s="2" customFormat="1" ht="15.5" x14ac:dyDescent="0.35">
      <c r="A26" s="5">
        <v>35</v>
      </c>
      <c r="B26" s="5" t="s">
        <v>12</v>
      </c>
      <c r="C26" s="5" t="s">
        <v>26</v>
      </c>
      <c r="D26" s="6">
        <v>35</v>
      </c>
      <c r="E26" s="7">
        <v>2377.4639999999999</v>
      </c>
      <c r="F26" s="6" t="s">
        <v>18</v>
      </c>
      <c r="G26" s="8">
        <v>40787</v>
      </c>
      <c r="H26" s="8">
        <v>42735</v>
      </c>
      <c r="I26" s="8">
        <v>40787</v>
      </c>
      <c r="J26" s="8">
        <v>42983</v>
      </c>
      <c r="K26" s="6">
        <v>800</v>
      </c>
      <c r="L26" s="9">
        <v>1208849019421.6797</v>
      </c>
      <c r="M26" s="10">
        <v>91.943130493164105</v>
      </c>
    </row>
    <row r="27" spans="1:13" s="2" customFormat="1" ht="15.5" x14ac:dyDescent="0.35">
      <c r="A27" s="5">
        <v>31</v>
      </c>
      <c r="B27" s="5" t="s">
        <v>12</v>
      </c>
      <c r="C27" s="5" t="s">
        <v>27</v>
      </c>
      <c r="D27" s="6">
        <v>24</v>
      </c>
      <c r="E27" s="7">
        <v>274.21750000000003</v>
      </c>
      <c r="F27" s="6" t="s">
        <v>18</v>
      </c>
      <c r="G27" s="8">
        <v>37987</v>
      </c>
      <c r="H27" s="8">
        <v>39326</v>
      </c>
      <c r="I27" s="8">
        <v>37987</v>
      </c>
      <c r="J27" s="8">
        <v>39573</v>
      </c>
      <c r="K27" s="6">
        <v>680</v>
      </c>
      <c r="L27" s="9">
        <v>1900496731808.6594</v>
      </c>
      <c r="M27" s="10">
        <v>71.891891479492202</v>
      </c>
    </row>
    <row r="28" spans="1:13" s="2" customFormat="1" ht="15.5" x14ac:dyDescent="0.35">
      <c r="A28" s="5">
        <v>36</v>
      </c>
      <c r="B28" s="5" t="s">
        <v>23</v>
      </c>
      <c r="C28" s="5" t="s">
        <v>13</v>
      </c>
      <c r="D28" s="6">
        <v>25</v>
      </c>
      <c r="E28" s="7">
        <v>148.90688999999998</v>
      </c>
      <c r="F28" s="6">
        <v>2</v>
      </c>
      <c r="G28" s="8">
        <v>42522</v>
      </c>
      <c r="H28" s="8">
        <v>43800</v>
      </c>
      <c r="I28" s="8">
        <v>42522</v>
      </c>
      <c r="J28" s="8">
        <v>44044</v>
      </c>
      <c r="K28" s="6">
        <v>840</v>
      </c>
      <c r="L28" s="9">
        <v>893035686216.22205</v>
      </c>
      <c r="M28" s="10">
        <v>49.523811340332003</v>
      </c>
    </row>
    <row r="29" spans="1:13" s="2" customFormat="1" ht="15.5" x14ac:dyDescent="0.35">
      <c r="A29" s="5">
        <v>21</v>
      </c>
      <c r="B29" s="5" t="s">
        <v>23</v>
      </c>
      <c r="C29" s="5" t="s">
        <v>24</v>
      </c>
      <c r="D29" s="6">
        <v>32</v>
      </c>
      <c r="E29" s="7">
        <v>447.6825</v>
      </c>
      <c r="F29" s="6">
        <v>3</v>
      </c>
      <c r="G29" s="8">
        <v>39448</v>
      </c>
      <c r="H29" s="8">
        <v>40564</v>
      </c>
      <c r="I29" s="8">
        <v>39448</v>
      </c>
      <c r="J29" s="8">
        <v>40807</v>
      </c>
      <c r="K29" s="6">
        <v>512</v>
      </c>
      <c r="L29" s="9">
        <v>2730356339665.7891</v>
      </c>
      <c r="M29" s="10">
        <v>92.233009338378906</v>
      </c>
    </row>
    <row r="30" spans="1:13" s="2" customFormat="1" ht="15.5" x14ac:dyDescent="0.35">
      <c r="A30" s="5">
        <v>50</v>
      </c>
      <c r="B30" s="5" t="s">
        <v>14</v>
      </c>
      <c r="C30" s="5" t="s">
        <v>13</v>
      </c>
      <c r="D30" s="6">
        <v>25</v>
      </c>
      <c r="E30" s="7">
        <v>694.27499999999998</v>
      </c>
      <c r="F30" s="6">
        <v>1</v>
      </c>
      <c r="G30" s="8">
        <v>42217</v>
      </c>
      <c r="H30" s="8">
        <v>43464</v>
      </c>
      <c r="I30" s="8">
        <v>42217</v>
      </c>
      <c r="J30" s="8">
        <v>43768</v>
      </c>
      <c r="K30" s="6" t="s">
        <v>28</v>
      </c>
      <c r="L30" s="9">
        <v>864313810469.0094</v>
      </c>
      <c r="M30" s="10">
        <v>51.4285697937012</v>
      </c>
    </row>
    <row r="31" spans="1:13" s="2" customFormat="1" ht="15.5" x14ac:dyDescent="0.35">
      <c r="A31" s="5">
        <v>47</v>
      </c>
      <c r="B31" s="5" t="s">
        <v>14</v>
      </c>
      <c r="C31" s="5" t="s">
        <v>29</v>
      </c>
      <c r="D31" s="6">
        <v>30</v>
      </c>
      <c r="E31" s="7">
        <v>2340.39</v>
      </c>
      <c r="F31" s="6">
        <v>4</v>
      </c>
      <c r="G31" s="8">
        <v>42277</v>
      </c>
      <c r="H31" s="8">
        <v>43466</v>
      </c>
      <c r="I31" s="8">
        <v>42277</v>
      </c>
      <c r="J31" s="8">
        <v>43777</v>
      </c>
      <c r="K31" s="6">
        <v>2000</v>
      </c>
      <c r="L31" s="9">
        <v>3367906396055.5122</v>
      </c>
      <c r="M31" s="10">
        <v>89.423080444335895</v>
      </c>
    </row>
    <row r="32" spans="1:13" s="2" customFormat="1" ht="15.5" x14ac:dyDescent="0.35">
      <c r="A32" s="5">
        <v>12</v>
      </c>
      <c r="B32" s="5" t="s">
        <v>14</v>
      </c>
      <c r="C32" s="5" t="s">
        <v>24</v>
      </c>
      <c r="D32" s="6">
        <v>30</v>
      </c>
      <c r="E32" s="7">
        <v>242.56815</v>
      </c>
      <c r="F32" s="6">
        <v>3</v>
      </c>
      <c r="G32" s="8">
        <v>42094</v>
      </c>
      <c r="H32" s="8">
        <v>43282</v>
      </c>
      <c r="I32" s="8">
        <v>42094</v>
      </c>
      <c r="J32" s="8">
        <v>43586</v>
      </c>
      <c r="K32" s="6">
        <v>300</v>
      </c>
      <c r="L32" s="9">
        <v>2927911140916.7314</v>
      </c>
      <c r="M32" s="10">
        <v>91.904762268066406</v>
      </c>
    </row>
    <row r="33" spans="1:13" s="2" customFormat="1" ht="15.5" x14ac:dyDescent="0.35">
      <c r="A33" s="5">
        <v>22</v>
      </c>
      <c r="B33" s="5" t="s">
        <v>12</v>
      </c>
      <c r="C33" s="5" t="s">
        <v>19</v>
      </c>
      <c r="D33" s="6">
        <v>30</v>
      </c>
      <c r="E33" s="7">
        <v>399.59039999999999</v>
      </c>
      <c r="F33" s="6">
        <v>5</v>
      </c>
      <c r="G33" s="8">
        <v>38835</v>
      </c>
      <c r="H33" s="8">
        <v>40118</v>
      </c>
      <c r="I33" s="8">
        <v>39264</v>
      </c>
      <c r="J33" s="8">
        <v>40878</v>
      </c>
      <c r="K33" s="6">
        <v>676</v>
      </c>
      <c r="L33" s="9">
        <v>1194247575041.7971</v>
      </c>
      <c r="M33" s="10">
        <v>73.039215087890597</v>
      </c>
    </row>
    <row r="34" spans="1:13" s="2" customFormat="1" ht="15.5" x14ac:dyDescent="0.35">
      <c r="A34" s="5">
        <v>53</v>
      </c>
      <c r="B34" s="5" t="s">
        <v>21</v>
      </c>
      <c r="C34" s="5" t="s">
        <v>20</v>
      </c>
      <c r="D34" s="6">
        <v>20</v>
      </c>
      <c r="E34" s="7">
        <v>399.80010000000004</v>
      </c>
      <c r="F34" s="6">
        <v>2</v>
      </c>
      <c r="G34" s="8">
        <v>41730</v>
      </c>
      <c r="H34" s="8">
        <v>43435</v>
      </c>
      <c r="I34" s="8">
        <v>41730</v>
      </c>
      <c r="J34" s="8">
        <v>43933</v>
      </c>
      <c r="K34" s="6" t="s">
        <v>30</v>
      </c>
      <c r="L34" s="9">
        <v>233163076989.91052</v>
      </c>
      <c r="M34" s="10">
        <v>85.308059692382798</v>
      </c>
    </row>
    <row r="35" spans="1:13" s="2" customFormat="1" ht="15.5" x14ac:dyDescent="0.35">
      <c r="A35" s="5">
        <v>41</v>
      </c>
      <c r="B35" s="5" t="s">
        <v>14</v>
      </c>
      <c r="C35" s="5" t="s">
        <v>31</v>
      </c>
      <c r="D35" s="6">
        <v>30</v>
      </c>
      <c r="E35" s="7">
        <v>417.45087999999998</v>
      </c>
      <c r="F35" s="6">
        <v>1</v>
      </c>
      <c r="G35" s="8">
        <v>39273</v>
      </c>
      <c r="H35" s="8">
        <v>40544</v>
      </c>
      <c r="I35" s="8">
        <v>39273</v>
      </c>
      <c r="J35" s="8">
        <v>40931</v>
      </c>
      <c r="K35" s="6">
        <v>1017</v>
      </c>
      <c r="L35" s="9">
        <v>2267844863251.48</v>
      </c>
      <c r="M35" s="10">
        <v>75.980392456054702</v>
      </c>
    </row>
    <row r="36" spans="1:13" s="2" customFormat="1" ht="15.5" x14ac:dyDescent="0.35">
      <c r="A36" s="5">
        <v>8</v>
      </c>
      <c r="B36" s="5" t="s">
        <v>14</v>
      </c>
      <c r="C36" s="5" t="s">
        <v>19</v>
      </c>
      <c r="D36" s="6">
        <v>30</v>
      </c>
      <c r="E36" s="7">
        <v>148.3339</v>
      </c>
      <c r="F36" s="6">
        <v>2</v>
      </c>
      <c r="G36" s="8">
        <v>40238</v>
      </c>
      <c r="H36" s="8">
        <v>41455</v>
      </c>
      <c r="I36" s="8">
        <v>40238</v>
      </c>
      <c r="J36" s="8">
        <v>41821</v>
      </c>
      <c r="K36" s="6">
        <v>250</v>
      </c>
      <c r="L36" s="9">
        <v>1200112046333.333</v>
      </c>
      <c r="M36" s="10">
        <v>75.119613647460895</v>
      </c>
    </row>
    <row r="37" spans="1:13" s="2" customFormat="1" ht="15.5" x14ac:dyDescent="0.35">
      <c r="A37" s="5">
        <v>3</v>
      </c>
      <c r="B37" s="5" t="s">
        <v>14</v>
      </c>
      <c r="C37" s="5" t="s">
        <v>19</v>
      </c>
      <c r="D37" s="6">
        <v>30</v>
      </c>
      <c r="E37" s="7">
        <v>181.45400000000001</v>
      </c>
      <c r="F37" s="6">
        <v>3</v>
      </c>
      <c r="G37" s="8">
        <v>38457</v>
      </c>
      <c r="H37" s="8">
        <v>39005</v>
      </c>
      <c r="I37" s="8">
        <v>38640</v>
      </c>
      <c r="J37" s="8">
        <v>39506</v>
      </c>
      <c r="K37" s="6">
        <v>132</v>
      </c>
      <c r="L37" s="9">
        <v>1147835586804.0913</v>
      </c>
      <c r="M37" s="10">
        <v>78.431373596191406</v>
      </c>
    </row>
    <row r="38" spans="1:13" s="2" customFormat="1" ht="15.5" x14ac:dyDescent="0.35">
      <c r="A38" s="5">
        <v>40</v>
      </c>
      <c r="B38" s="5" t="s">
        <v>23</v>
      </c>
      <c r="C38" s="5" t="s">
        <v>24</v>
      </c>
      <c r="D38" s="6">
        <v>35</v>
      </c>
      <c r="E38" s="7">
        <v>531.77539999999999</v>
      </c>
      <c r="F38" s="6">
        <v>5</v>
      </c>
      <c r="G38" s="8">
        <v>38718</v>
      </c>
      <c r="H38" s="8">
        <v>40148</v>
      </c>
      <c r="I38" s="8">
        <v>38718</v>
      </c>
      <c r="J38" s="8">
        <v>41231</v>
      </c>
      <c r="K38" s="6">
        <v>939</v>
      </c>
      <c r="L38" s="9">
        <v>2468849371075.25</v>
      </c>
      <c r="M38" s="10">
        <v>88.108108520507798</v>
      </c>
    </row>
    <row r="39" spans="1:13" s="2" customFormat="1" ht="15.5" x14ac:dyDescent="0.35">
      <c r="A39" s="5">
        <v>33</v>
      </c>
      <c r="B39" s="5" t="s">
        <v>23</v>
      </c>
      <c r="C39" s="5" t="s">
        <v>24</v>
      </c>
      <c r="D39" s="6">
        <v>35</v>
      </c>
      <c r="E39" s="7">
        <v>921.55</v>
      </c>
      <c r="F39" s="6">
        <v>3</v>
      </c>
      <c r="G39" s="8">
        <v>37803</v>
      </c>
      <c r="H39" s="8">
        <v>38808</v>
      </c>
      <c r="I39" s="8">
        <v>38169</v>
      </c>
      <c r="J39" s="8">
        <v>39975</v>
      </c>
      <c r="K39" s="6">
        <v>750</v>
      </c>
      <c r="L39" s="9">
        <v>2529531328675.5728</v>
      </c>
      <c r="M39" s="10">
        <v>88.557212829589801</v>
      </c>
    </row>
    <row r="40" spans="1:13" s="2" customFormat="1" ht="15.5" x14ac:dyDescent="0.35">
      <c r="A40" s="5">
        <v>27</v>
      </c>
      <c r="B40" s="5" t="s">
        <v>23</v>
      </c>
      <c r="C40" s="5" t="s">
        <v>24</v>
      </c>
      <c r="D40" s="6">
        <v>30</v>
      </c>
      <c r="E40" s="7">
        <v>508.84154999999998</v>
      </c>
      <c r="F40" s="6">
        <v>3</v>
      </c>
      <c r="G40" s="8">
        <v>41671</v>
      </c>
      <c r="H40" s="8">
        <v>42795</v>
      </c>
      <c r="I40" s="8">
        <v>41671</v>
      </c>
      <c r="J40" s="8">
        <v>44854</v>
      </c>
      <c r="K40" s="6">
        <v>646</v>
      </c>
      <c r="L40" s="9">
        <v>2775572748536.7471</v>
      </c>
      <c r="M40" s="10">
        <v>90.047393798828097</v>
      </c>
    </row>
    <row r="41" spans="1:13" s="4" customFormat="1" x14ac:dyDescent="0.4">
      <c r="A41" s="12"/>
      <c r="B41" s="13"/>
      <c r="C41" s="12"/>
      <c r="D41" s="15"/>
      <c r="E41" s="12"/>
      <c r="F41" s="13"/>
      <c r="G41" s="14"/>
      <c r="H41" s="14"/>
      <c r="I41" s="14"/>
      <c r="J41" s="14"/>
      <c r="K41" s="13"/>
      <c r="L41" s="16"/>
      <c r="M41" s="13"/>
    </row>
    <row r="42" spans="1:13" s="4" customFormat="1" x14ac:dyDescent="0.4">
      <c r="A42" s="12"/>
      <c r="B42" s="17"/>
      <c r="C42" s="12"/>
      <c r="D42" s="15"/>
      <c r="E42" s="12"/>
      <c r="F42" s="13"/>
      <c r="G42" s="14"/>
      <c r="H42" s="14"/>
      <c r="I42" s="14"/>
      <c r="J42" s="14"/>
      <c r="K42" s="13"/>
      <c r="L42" s="16"/>
      <c r="M42" s="13"/>
    </row>
    <row r="43" spans="1:13" s="4" customFormat="1" x14ac:dyDescent="0.4">
      <c r="A43" s="12"/>
      <c r="B43" s="13"/>
      <c r="C43" s="12"/>
      <c r="D43" s="15"/>
      <c r="E43" s="12"/>
      <c r="F43" s="13"/>
      <c r="G43" s="14"/>
      <c r="H43" s="14"/>
      <c r="I43" s="14"/>
      <c r="J43" s="14"/>
      <c r="K43" s="13"/>
      <c r="L43" s="16"/>
      <c r="M43" s="13"/>
    </row>
    <row r="44" spans="1:13" s="4" customFormat="1" x14ac:dyDescent="0.4">
      <c r="A44" s="12"/>
      <c r="B44" s="18"/>
      <c r="C44" s="12"/>
      <c r="D44" s="15"/>
      <c r="E44" s="12"/>
      <c r="F44" s="13"/>
      <c r="G44" s="14"/>
      <c r="H44" s="14"/>
      <c r="I44" s="14"/>
      <c r="J44" s="14"/>
      <c r="K44" s="13"/>
      <c r="L44" s="16"/>
      <c r="M44" s="13"/>
    </row>
    <row r="45" spans="1:13" s="4" customFormat="1" x14ac:dyDescent="0.4">
      <c r="A45" s="12"/>
      <c r="B45" s="13"/>
      <c r="C45" s="12"/>
      <c r="D45" s="15"/>
      <c r="E45" s="12"/>
      <c r="F45" s="13"/>
      <c r="G45" s="14"/>
      <c r="H45" s="14"/>
      <c r="I45" s="14"/>
      <c r="J45" s="14"/>
      <c r="K45" s="13"/>
      <c r="L45" s="16"/>
      <c r="M45" s="13"/>
    </row>
    <row r="46" spans="1:13" s="4" customFormat="1" x14ac:dyDescent="0.4">
      <c r="A46" s="12"/>
      <c r="B46" s="17"/>
      <c r="C46" s="12"/>
      <c r="D46" s="15"/>
      <c r="E46" s="12"/>
      <c r="F46" s="13"/>
      <c r="G46" s="14"/>
      <c r="H46" s="14"/>
      <c r="I46" s="14"/>
      <c r="J46" s="14"/>
      <c r="K46" s="13"/>
      <c r="L46" s="16"/>
      <c r="M46" s="13"/>
    </row>
    <row r="47" spans="1:13" s="4" customFormat="1" x14ac:dyDescent="0.4">
      <c r="A47" s="12"/>
      <c r="B47" s="13"/>
      <c r="C47" s="12"/>
      <c r="D47" s="15"/>
      <c r="E47" s="12"/>
      <c r="F47" s="13"/>
      <c r="G47" s="14"/>
      <c r="H47" s="14"/>
      <c r="I47" s="14"/>
      <c r="J47" s="14"/>
      <c r="K47" s="13"/>
      <c r="L47" s="16"/>
      <c r="M47" s="13"/>
    </row>
    <row r="48" spans="1:13" s="4" customFormat="1" x14ac:dyDescent="0.4">
      <c r="A48" s="12"/>
      <c r="B48" s="17"/>
      <c r="C48" s="12"/>
      <c r="D48" s="15"/>
      <c r="E48" s="12"/>
      <c r="F48" s="13"/>
      <c r="G48" s="14"/>
      <c r="H48" s="14"/>
      <c r="I48" s="14"/>
      <c r="J48" s="14"/>
      <c r="K48" s="13"/>
      <c r="L48" s="16"/>
      <c r="M48" s="13"/>
    </row>
    <row r="49" spans="1:13" s="4" customFormat="1" x14ac:dyDescent="0.4">
      <c r="A49" s="12"/>
      <c r="B49" s="13"/>
      <c r="C49" s="12"/>
      <c r="D49" s="15"/>
      <c r="E49" s="12"/>
      <c r="F49" s="13"/>
      <c r="G49" s="14"/>
      <c r="H49" s="14"/>
      <c r="I49" s="14"/>
      <c r="J49" s="14"/>
      <c r="K49" s="13"/>
      <c r="L49" s="16"/>
      <c r="M49" s="13"/>
    </row>
    <row r="50" spans="1:13" s="4" customFormat="1" x14ac:dyDescent="0.4">
      <c r="A50" s="12"/>
      <c r="B50" s="17"/>
      <c r="C50" s="12"/>
      <c r="D50" s="15"/>
      <c r="E50" s="12"/>
      <c r="F50" s="13"/>
      <c r="G50" s="14"/>
      <c r="H50" s="14"/>
      <c r="I50" s="14"/>
      <c r="J50" s="14"/>
      <c r="K50" s="13"/>
      <c r="L50" s="16"/>
      <c r="M50" s="13"/>
    </row>
    <row r="51" spans="1:13" s="4" customFormat="1" x14ac:dyDescent="0.4">
      <c r="A51" s="12"/>
      <c r="B51" s="13"/>
      <c r="C51" s="12"/>
      <c r="D51" s="15"/>
      <c r="E51" s="12"/>
      <c r="F51" s="13"/>
      <c r="G51" s="14"/>
      <c r="H51" s="14"/>
      <c r="I51" s="14"/>
      <c r="J51" s="14"/>
      <c r="K51" s="13"/>
      <c r="L51" s="16"/>
      <c r="M51" s="13"/>
    </row>
    <row r="52" spans="1:13" s="4" customFormat="1" x14ac:dyDescent="0.4">
      <c r="A52" s="12"/>
      <c r="B52" s="18"/>
      <c r="C52" s="12"/>
      <c r="D52" s="15"/>
      <c r="E52" s="12"/>
      <c r="F52" s="13"/>
      <c r="G52" s="14"/>
      <c r="H52" s="14"/>
      <c r="I52" s="14"/>
      <c r="J52" s="14"/>
      <c r="K52" s="13"/>
      <c r="L52" s="16"/>
      <c r="M52" s="13"/>
    </row>
    <row r="53" spans="1:13" s="4" customFormat="1" x14ac:dyDescent="0.4">
      <c r="A53" s="12"/>
      <c r="B53" s="13"/>
      <c r="C53" s="12"/>
      <c r="D53" s="15"/>
      <c r="E53" s="12"/>
      <c r="F53" s="13"/>
      <c r="G53" s="14"/>
      <c r="H53" s="14"/>
      <c r="I53" s="14"/>
      <c r="J53" s="14"/>
      <c r="K53" s="13"/>
      <c r="L53" s="16"/>
      <c r="M53" s="13"/>
    </row>
    <row r="54" spans="1:13" s="4" customFormat="1" x14ac:dyDescent="0.4">
      <c r="A54" s="12"/>
      <c r="B54" s="18"/>
      <c r="C54" s="12"/>
      <c r="D54" s="15"/>
      <c r="E54" s="12"/>
      <c r="F54" s="13"/>
      <c r="G54" s="14"/>
      <c r="H54" s="14"/>
      <c r="I54" s="14"/>
      <c r="J54" s="14"/>
      <c r="K54" s="13"/>
      <c r="L54" s="16"/>
      <c r="M54" s="13"/>
    </row>
    <row r="55" spans="1:13" s="4" customFormat="1" x14ac:dyDescent="0.4">
      <c r="A55" s="12"/>
      <c r="B55" s="13"/>
      <c r="C55" s="12"/>
      <c r="D55" s="15"/>
      <c r="E55" s="12"/>
      <c r="F55" s="13"/>
      <c r="G55" s="14"/>
      <c r="H55" s="14"/>
      <c r="I55" s="14"/>
      <c r="J55" s="14"/>
      <c r="K55" s="13"/>
      <c r="L55" s="16"/>
      <c r="M55" s="13"/>
    </row>
    <row r="56" spans="1:13" s="4" customFormat="1" x14ac:dyDescent="0.4">
      <c r="A56" s="12"/>
      <c r="B56" s="17"/>
      <c r="C56" s="12"/>
      <c r="D56" s="15"/>
      <c r="E56" s="12"/>
      <c r="F56" s="13"/>
      <c r="G56" s="14"/>
      <c r="H56" s="14"/>
      <c r="I56" s="14"/>
      <c r="J56" s="14"/>
      <c r="K56" s="13"/>
      <c r="L56" s="16"/>
      <c r="M56" s="13"/>
    </row>
    <row r="57" spans="1:13" s="1" customFormat="1" x14ac:dyDescent="0.4">
      <c r="A57" s="12"/>
      <c r="B57" s="13"/>
      <c r="C57" s="12"/>
      <c r="D57" s="15"/>
      <c r="E57" s="12"/>
      <c r="F57" s="13"/>
      <c r="G57" s="14"/>
      <c r="H57" s="14"/>
      <c r="I57" s="14"/>
      <c r="J57" s="14"/>
      <c r="K57" s="13"/>
      <c r="L57" s="16"/>
      <c r="M57" s="13"/>
    </row>
    <row r="58" spans="1:13" s="1" customFormat="1" x14ac:dyDescent="0.4">
      <c r="A58" s="12"/>
      <c r="B58" s="18"/>
      <c r="C58" s="12"/>
      <c r="D58" s="15"/>
      <c r="E58" s="12"/>
      <c r="F58" s="13"/>
      <c r="G58" s="14"/>
      <c r="H58" s="14"/>
      <c r="I58" s="14"/>
      <c r="J58" s="14"/>
      <c r="K58" s="13"/>
      <c r="L58" s="16"/>
      <c r="M58" s="13"/>
    </row>
    <row r="59" spans="1:13" s="1" customFormat="1" x14ac:dyDescent="0.4">
      <c r="A59" s="12"/>
      <c r="B59" s="13"/>
      <c r="C59" s="12"/>
      <c r="D59" s="15"/>
      <c r="E59" s="12"/>
      <c r="F59" s="13"/>
      <c r="G59" s="14"/>
      <c r="H59" s="14"/>
      <c r="I59" s="14"/>
      <c r="J59" s="14"/>
      <c r="K59" s="13"/>
      <c r="L59" s="16"/>
      <c r="M59" s="13"/>
    </row>
    <row r="60" spans="1:13" s="1" customFormat="1" x14ac:dyDescent="0.4">
      <c r="A60" s="12"/>
      <c r="B60" s="17"/>
      <c r="C60" s="12"/>
      <c r="D60" s="15"/>
      <c r="E60" s="12"/>
      <c r="F60" s="13"/>
      <c r="G60" s="14"/>
      <c r="H60" s="14"/>
      <c r="I60" s="14"/>
      <c r="J60" s="14"/>
      <c r="K60" s="13"/>
      <c r="L60" s="16"/>
      <c r="M60" s="13"/>
    </row>
    <row r="61" spans="1:13" s="1" customFormat="1" x14ac:dyDescent="0.4">
      <c r="A61" s="12"/>
      <c r="B61" s="13"/>
      <c r="C61" s="12"/>
      <c r="D61" s="15"/>
      <c r="E61" s="12"/>
      <c r="F61" s="13"/>
      <c r="G61" s="14"/>
      <c r="H61" s="14"/>
      <c r="I61" s="14"/>
      <c r="J61" s="14"/>
      <c r="K61" s="13"/>
      <c r="L61" s="16"/>
      <c r="M61" s="13"/>
    </row>
    <row r="62" spans="1:13" s="1" customFormat="1" x14ac:dyDescent="0.4">
      <c r="A62" s="12"/>
      <c r="B62" s="17"/>
      <c r="C62" s="12"/>
      <c r="D62" s="15"/>
      <c r="E62" s="12"/>
      <c r="F62" s="13"/>
      <c r="G62" s="14"/>
      <c r="H62" s="14"/>
      <c r="I62" s="14"/>
      <c r="J62" s="14"/>
      <c r="K62" s="13"/>
      <c r="L62" s="16"/>
      <c r="M62" s="13"/>
    </row>
    <row r="63" spans="1:13" s="1" customFormat="1" x14ac:dyDescent="0.4">
      <c r="A63" s="12"/>
      <c r="B63" s="13"/>
      <c r="C63" s="12"/>
      <c r="D63" s="15"/>
      <c r="E63" s="12"/>
      <c r="F63" s="13"/>
      <c r="G63" s="14"/>
      <c r="H63" s="14"/>
      <c r="I63" s="14"/>
      <c r="J63" s="14"/>
      <c r="K63" s="13"/>
      <c r="L63" s="16"/>
      <c r="M63" s="13"/>
    </row>
    <row r="64" spans="1:13" s="1" customFormat="1" x14ac:dyDescent="0.4">
      <c r="A64" s="12"/>
      <c r="B64" s="17"/>
      <c r="C64" s="12"/>
      <c r="D64" s="15"/>
      <c r="E64" s="12"/>
      <c r="F64" s="13"/>
      <c r="G64" s="14"/>
      <c r="H64" s="14"/>
      <c r="I64" s="14"/>
      <c r="J64" s="14"/>
      <c r="K64" s="13"/>
      <c r="L64" s="16"/>
      <c r="M64" s="13"/>
    </row>
    <row r="65" spans="1:13" s="1" customFormat="1" x14ac:dyDescent="0.4">
      <c r="A65" s="12"/>
      <c r="B65" s="13"/>
      <c r="C65" s="12"/>
      <c r="D65" s="15"/>
      <c r="E65" s="12"/>
      <c r="F65" s="13"/>
      <c r="G65" s="14"/>
      <c r="H65" s="14"/>
      <c r="I65" s="14"/>
      <c r="J65" s="14"/>
      <c r="K65" s="13"/>
      <c r="L65" s="16"/>
      <c r="M65" s="13"/>
    </row>
    <row r="66" spans="1:13" s="1" customFormat="1" x14ac:dyDescent="0.4">
      <c r="A66" s="12"/>
      <c r="B66" s="17"/>
      <c r="C66" s="12"/>
      <c r="D66" s="15"/>
      <c r="E66" s="12"/>
      <c r="F66" s="13"/>
      <c r="G66" s="14"/>
      <c r="H66" s="14"/>
      <c r="I66" s="14"/>
      <c r="J66" s="14"/>
      <c r="K66" s="13"/>
      <c r="L66" s="16"/>
      <c r="M66" s="13"/>
    </row>
    <row r="67" spans="1:13" s="1" customFormat="1" x14ac:dyDescent="0.4">
      <c r="A67" s="12"/>
      <c r="B67" s="13"/>
      <c r="C67" s="12"/>
      <c r="D67" s="15"/>
      <c r="E67" s="12"/>
      <c r="F67" s="13"/>
      <c r="G67" s="14"/>
      <c r="H67" s="14"/>
      <c r="I67" s="14"/>
      <c r="J67" s="14"/>
      <c r="K67" s="13"/>
      <c r="L67" s="16"/>
      <c r="M67" s="13"/>
    </row>
    <row r="68" spans="1:13" s="1" customFormat="1" x14ac:dyDescent="0.4">
      <c r="A68" s="12"/>
      <c r="B68" s="17"/>
      <c r="C68" s="12"/>
      <c r="D68" s="15"/>
      <c r="E68" s="12"/>
      <c r="F68" s="13"/>
      <c r="G68" s="14"/>
      <c r="H68" s="14"/>
      <c r="I68" s="14"/>
      <c r="J68" s="14"/>
      <c r="K68" s="13"/>
      <c r="L68" s="16"/>
      <c r="M68" s="13"/>
    </row>
    <row r="69" spans="1:13" s="1" customFormat="1" x14ac:dyDescent="0.4">
      <c r="A69" s="12"/>
      <c r="B69" s="13"/>
      <c r="C69" s="12"/>
      <c r="D69" s="15"/>
      <c r="E69" s="12"/>
      <c r="F69" s="13"/>
      <c r="G69" s="14"/>
      <c r="H69" s="14"/>
      <c r="I69" s="14"/>
      <c r="J69" s="14"/>
      <c r="K69" s="13"/>
      <c r="L69" s="16"/>
      <c r="M69" s="13"/>
    </row>
    <row r="70" spans="1:13" s="1" customFormat="1" x14ac:dyDescent="0.4">
      <c r="A70" s="12"/>
      <c r="B70" s="17"/>
      <c r="C70" s="12"/>
      <c r="D70" s="15"/>
      <c r="E70" s="12"/>
      <c r="F70" s="13"/>
      <c r="G70" s="14"/>
      <c r="H70" s="14"/>
      <c r="I70" s="14"/>
      <c r="J70" s="14"/>
      <c r="K70" s="13"/>
      <c r="L70" s="16"/>
      <c r="M70" s="13"/>
    </row>
    <row r="71" spans="1:13" s="1" customFormat="1" x14ac:dyDescent="0.4">
      <c r="A71" s="12"/>
      <c r="B71" s="13"/>
      <c r="C71" s="12"/>
      <c r="D71" s="15"/>
      <c r="E71" s="12"/>
      <c r="F71" s="13"/>
      <c r="G71" s="14"/>
      <c r="H71" s="14"/>
      <c r="I71" s="14"/>
      <c r="J71" s="14"/>
      <c r="K71" s="13"/>
      <c r="L71" s="16"/>
      <c r="M71" s="13"/>
    </row>
    <row r="72" spans="1:13" s="1" customFormat="1" x14ac:dyDescent="0.4">
      <c r="A72" s="12"/>
      <c r="B72" s="17"/>
      <c r="C72" s="12"/>
      <c r="D72" s="15"/>
      <c r="E72" s="12"/>
      <c r="F72" s="13"/>
      <c r="G72" s="14"/>
      <c r="H72" s="14"/>
      <c r="I72" s="14"/>
      <c r="J72" s="14"/>
      <c r="K72" s="13"/>
      <c r="L72" s="16"/>
      <c r="M72" s="13"/>
    </row>
    <row r="73" spans="1:13" s="1" customFormat="1" x14ac:dyDescent="0.4">
      <c r="A73" s="12"/>
      <c r="B73" s="13"/>
      <c r="C73" s="12"/>
      <c r="D73" s="15"/>
      <c r="E73" s="12"/>
      <c r="F73" s="13"/>
      <c r="G73" s="14"/>
      <c r="H73" s="14"/>
      <c r="I73" s="14"/>
      <c r="J73" s="14"/>
      <c r="K73" s="13"/>
      <c r="L73" s="16"/>
      <c r="M73" s="13"/>
    </row>
    <row r="74" spans="1:13" s="1" customFormat="1" x14ac:dyDescent="0.4">
      <c r="A74" s="12"/>
      <c r="B74" s="17"/>
      <c r="C74" s="12"/>
      <c r="D74" s="15"/>
      <c r="E74" s="12"/>
      <c r="F74" s="13"/>
      <c r="G74" s="14"/>
      <c r="H74" s="14"/>
      <c r="I74" s="14"/>
      <c r="J74" s="14"/>
      <c r="K74" s="13"/>
      <c r="L74" s="16"/>
      <c r="M74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PPP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 Preziosa</dc:creator>
  <cp:lastModifiedBy>Simone  Preziosa</cp:lastModifiedBy>
  <dcterms:created xsi:type="dcterms:W3CDTF">2026-10-14T16:19:06Z</dcterms:created>
  <dcterms:modified xsi:type="dcterms:W3CDTF">2026-10-14T16:32:56Z</dcterms:modified>
</cp:coreProperties>
</file>